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ọc viên" sheetId="2" state="visible" r:id="rId2"/>
    <sheet xmlns:r="http://schemas.openxmlformats.org/officeDocument/2006/relationships" name="Lịch học" sheetId="3" state="visible" r:id="rId3"/>
    <sheet xmlns:r="http://schemas.openxmlformats.org/officeDocument/2006/relationships" name="Tiến độ" sheetId="4" state="visible" r:id="rId4"/>
    <sheet xmlns:r="http://schemas.openxmlformats.org/officeDocument/2006/relationships" name="Công việc vận hành" sheetId="5" state="visible" r:id="rId5"/>
    <sheet xmlns:r="http://schemas.openxmlformats.org/officeDocument/2006/relationships" name="Chương trình 6 tuần" sheetId="6" state="visible" r:id="rId6"/>
    <sheet xmlns:r="http://schemas.openxmlformats.org/officeDocument/2006/relationships" name="Chỉ mục tài liệu" sheetId="7" state="visible" r:id="rId7"/>
  </sheets>
  <definedNames>
    <definedName name="_xlnm._FilterDatabase" localSheetId="0" hidden="1">'Dashboard'!$A$1:$C$10</definedName>
    <definedName name="_xlnm._FilterDatabase" localSheetId="1" hidden="1">'Học viên'!$A$1:$M$16</definedName>
    <definedName name="_xlnm._FilterDatabase" localSheetId="2" hidden="1">'Lịch học'!$A$1:$L$14</definedName>
    <definedName name="_xlnm._FilterDatabase" localSheetId="3" hidden="1">'Tiến độ'!$A$1:$M$16</definedName>
    <definedName name="_xlnm._FilterDatabase" localSheetId="4" hidden="1">'Công việc vận hành'!$A$1:$H$12</definedName>
    <definedName name="_xlnm._FilterDatabase" localSheetId="5" hidden="1">'Chương trình 6 tuần'!$A$1:$E$7</definedName>
    <definedName name="_xlnm._FilterDatabase" localSheetId="6" hidden="1">'Chỉ mục tài liệu'!$A$1:$G$9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đ&quot;"/>
    <numFmt numFmtId="165" formatCode="dd/mm/yyyy"/>
    <numFmt numFmtId="166" formatCode="yyyy-mm-dd"/>
  </numFmts>
  <fonts count="5">
    <font>
      <name val="Calibri"/>
      <family val="2"/>
      <color theme="1"/>
      <sz val="11"/>
      <scheme val="minor"/>
    </font>
    <font>
      <name val="DejaVu Sans"/>
      <b val="1"/>
      <color rgb="00FFFFFF"/>
    </font>
    <font>
      <name val="DejaVu Sans"/>
      <b val="1"/>
      <color rgb="0024114F"/>
      <sz val="10"/>
    </font>
    <font>
      <name val="DejaVu Sans"/>
      <color rgb="0024114F"/>
      <sz val="10"/>
    </font>
    <font>
      <name val="DejaVu Sans"/>
      <b val="1"/>
      <color rgb="0024114F"/>
    </font>
  </fonts>
  <fills count="5">
    <fill>
      <patternFill/>
    </fill>
    <fill>
      <patternFill patternType="gray125"/>
    </fill>
    <fill>
      <patternFill patternType="solid">
        <fgColor rgb="006D28D9"/>
      </patternFill>
    </fill>
    <fill>
      <patternFill patternType="solid">
        <fgColor rgb="00F7F5F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DDD6F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4" fillId="4" borderId="0" pivotButton="0" quotePrefix="0" xfId="0"/>
    <xf numFmtId="165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48" customWidth="1" min="3" max="3"/>
  </cols>
  <sheetData>
    <row r="1" ht="34" customHeight="1">
      <c r="A1" s="1" t="inlineStr">
        <is>
          <t>CHỈ SỐ</t>
        </is>
      </c>
      <c r="B1" s="1" t="inlineStr">
        <is>
          <t>GIÁ TRỊ</t>
        </is>
      </c>
      <c r="C1" s="1" t="inlineStr">
        <is>
          <t>MỤC TIÊU/GHI CHÚ</t>
        </is>
      </c>
    </row>
    <row r="2">
      <c r="A2" s="2" t="inlineStr">
        <is>
          <t>Tổng hồ sơ</t>
        </is>
      </c>
      <c r="B2" s="2">
        <f>COUNTA('Học viên'!B2:B16)</f>
        <v/>
      </c>
      <c r="C2" s="2" t="inlineStr">
        <is>
          <t>Tối đa 15</t>
        </is>
      </c>
    </row>
    <row r="3">
      <c r="A3" s="3" t="inlineStr">
        <is>
          <t>Hồ sơ sẵn sàng</t>
        </is>
      </c>
      <c r="B3" s="3">
        <f>COUNTIF('Học viên'!F2:F16,"SẴN SÀNG")</f>
        <v/>
      </c>
      <c r="C3" s="3" t="inlineStr">
        <is>
          <t>Đã xác nhận phù hợp</t>
        </is>
      </c>
    </row>
    <row r="4">
      <c r="A4" s="2" t="inlineStr">
        <is>
          <t>Đã thanh toán</t>
        </is>
      </c>
      <c r="B4" s="2">
        <f>COUNTIF('Học viên'!J2:J16,"ĐÃ THANH TOÁN")</f>
        <v/>
      </c>
      <c r="C4" s="2" t="inlineStr">
        <is>
          <t>Chỉ sau xét phù hợp</t>
        </is>
      </c>
    </row>
    <row r="5">
      <c r="A5" s="3" t="inlineStr">
        <is>
          <t>Đã onboarding</t>
        </is>
      </c>
      <c r="B5" s="3">
        <f>COUNTIF('Học viên'!L2:L16,"HOÀN TẤT")</f>
        <v/>
      </c>
      <c r="C5" s="3" t="inlineStr">
        <is>
          <t>Trước 23/09/2026</t>
        </is>
      </c>
    </row>
    <row r="6">
      <c r="A6" s="2" t="inlineStr">
        <is>
          <t>Học viên XANH</t>
        </is>
      </c>
      <c r="B6" s="2">
        <f>COUNTIF('Tiến độ'!J2:J16,"XANH")</f>
        <v/>
      </c>
      <c r="C6" s="2" t="inlineStr">
        <is>
          <t>Đúng tiến độ</t>
        </is>
      </c>
    </row>
    <row r="7">
      <c r="A7" s="3" t="inlineStr">
        <is>
          <t>Học viên VÀNG</t>
        </is>
      </c>
      <c r="B7" s="3">
        <f>COUNTIF('Tiến độ'!J2:J16,"VÀNG")</f>
        <v/>
      </c>
      <c r="C7" s="3" t="inlineStr">
        <is>
          <t>Có một vướng mắc cần xử lý</t>
        </is>
      </c>
    </row>
    <row r="8">
      <c r="A8" s="2" t="inlineStr">
        <is>
          <t>Học viên ĐỎ</t>
        </is>
      </c>
      <c r="B8" s="2">
        <f>COUNTIF('Tiến độ'!J2:J16,"ĐỎ")</f>
        <v/>
      </c>
      <c r="C8" s="2" t="inlineStr">
        <is>
          <t>Nguy cơ bỏ dở</t>
        </is>
      </c>
    </row>
    <row r="9">
      <c r="A9" s="3" t="inlineStr">
        <is>
          <t>Doanh thu đã nhận</t>
        </is>
      </c>
      <c r="B9" s="4">
        <f>SUM('Học viên'!K2:K16)</f>
        <v/>
      </c>
      <c r="C9" s="3" t="inlineStr">
        <is>
          <t>VNĐ</t>
        </is>
      </c>
    </row>
    <row r="10">
      <c r="A10" s="2" t="inlineStr">
        <is>
          <t>Chỗ còn lại</t>
        </is>
      </c>
      <c r="B10" s="2">
        <f>15-COUNTA('Học viên'!B2:B16)</f>
        <v/>
      </c>
      <c r="C10" s="2" t="inlineStr">
        <is>
          <t>Không dùng để tạo khan hiếm giả</t>
        </is>
      </c>
    </row>
    <row r="12">
      <c r="A12" s="5" t="inlineStr">
        <is>
          <t>LỊCH ĐANG Ở TRẠNG THÁI DỰ KIẾN — chỉ công bố khi chủ chương trình xác nhận.</t>
        </is>
      </c>
    </row>
  </sheetData>
  <autoFilter ref="A1:C10"/>
  <mergeCells count="1"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7" customWidth="1" min="3" max="3"/>
    <col width="27" customWidth="1" min="4" max="4"/>
    <col width="22" customWidth="1" min="5" max="5"/>
    <col width="23" customWidth="1" min="6" max="6"/>
    <col width="15" customWidth="1" min="7" max="7"/>
    <col width="30" customWidth="1" min="8" max="8"/>
    <col width="20" customWidth="1" min="9" max="9"/>
    <col width="20" customWidth="1" min="10" max="10"/>
    <col width="18" customWidth="1" min="11" max="11"/>
    <col width="16" customWidth="1" min="12" max="12"/>
    <col width="34" customWidth="1" min="13" max="13"/>
  </cols>
  <sheetData>
    <row r="1" ht="34" customHeight="1">
      <c r="A1" s="1" t="inlineStr">
        <is>
          <t>Mã HV</t>
        </is>
      </c>
      <c r="B1" s="1" t="inlineStr">
        <is>
          <t>Họ tên</t>
        </is>
      </c>
      <c r="C1" s="1" t="inlineStr">
        <is>
          <t>Điện thoại</t>
        </is>
      </c>
      <c r="D1" s="1" t="inlineStr">
        <is>
          <t>Email</t>
        </is>
      </c>
      <c r="E1" s="1" t="inlineStr">
        <is>
          <t>Ngành</t>
        </is>
      </c>
      <c r="F1" s="1" t="inlineStr">
        <is>
          <t>Trạng thái hồ sơ</t>
        </is>
      </c>
      <c r="G1" s="1" t="inlineStr">
        <is>
          <t>Ngày liên hệ</t>
        </is>
      </c>
      <c r="H1" s="1" t="inlineStr">
        <is>
          <t>Hành động tiếp</t>
        </is>
      </c>
      <c r="I1" s="1" t="inlineStr">
        <is>
          <t>Gói học phí</t>
        </is>
      </c>
      <c r="J1" s="1" t="inlineStr">
        <is>
          <t>Thanh toán</t>
        </is>
      </c>
      <c r="K1" s="1" t="inlineStr">
        <is>
          <t>Đã nhận (VNĐ)</t>
        </is>
      </c>
      <c r="L1" s="1" t="inlineStr">
        <is>
          <t>Onboarding</t>
        </is>
      </c>
      <c r="M1" s="1" t="inlineStr">
        <is>
          <t>Ghi chú tối thiểu</t>
        </is>
      </c>
    </row>
    <row r="2">
      <c r="A2" s="2" t="inlineStr">
        <is>
          <t>HV01</t>
        </is>
      </c>
      <c r="B2" s="2" t="inlineStr"/>
      <c r="C2" s="2" t="inlineStr"/>
      <c r="D2" s="2" t="inlineStr"/>
      <c r="E2" s="2" t="inlineStr"/>
      <c r="F2" s="2" t="inlineStr">
        <is>
          <t>NEW</t>
        </is>
      </c>
      <c r="G2" s="6" t="inlineStr"/>
      <c r="H2" s="2" t="inlineStr">
        <is>
          <t>Liên hệ trong 24 giờ</t>
        </is>
      </c>
      <c r="I2" s="2" t="inlineStr"/>
      <c r="J2" s="2" t="inlineStr">
        <is>
          <t>CHƯA GỬI</t>
        </is>
      </c>
      <c r="K2" s="7" t="n">
        <v>0</v>
      </c>
      <c r="L2" s="2" t="inlineStr">
        <is>
          <t>CHƯA</t>
        </is>
      </c>
      <c r="M2" s="2" t="inlineStr"/>
    </row>
    <row r="3">
      <c r="A3" s="3" t="inlineStr">
        <is>
          <t>HV02</t>
        </is>
      </c>
      <c r="B3" s="3" t="inlineStr"/>
      <c r="C3" s="3" t="inlineStr"/>
      <c r="D3" s="3" t="inlineStr"/>
      <c r="E3" s="3" t="inlineStr"/>
      <c r="F3" s="3" t="inlineStr">
        <is>
          <t>NEW</t>
        </is>
      </c>
      <c r="G3" s="8" t="inlineStr"/>
      <c r="H3" s="3" t="inlineStr">
        <is>
          <t>Liên hệ trong 24 giờ</t>
        </is>
      </c>
      <c r="I3" s="3" t="inlineStr"/>
      <c r="J3" s="3" t="inlineStr">
        <is>
          <t>CHƯA GỬI</t>
        </is>
      </c>
      <c r="K3" s="4" t="n">
        <v>0</v>
      </c>
      <c r="L3" s="3" t="inlineStr">
        <is>
          <t>CHƯA</t>
        </is>
      </c>
      <c r="M3" s="3" t="inlineStr"/>
    </row>
    <row r="4">
      <c r="A4" s="2" t="inlineStr">
        <is>
          <t>HV03</t>
        </is>
      </c>
      <c r="B4" s="2" t="inlineStr"/>
      <c r="C4" s="2" t="inlineStr"/>
      <c r="D4" s="2" t="inlineStr"/>
      <c r="E4" s="2" t="inlineStr"/>
      <c r="F4" s="2" t="inlineStr">
        <is>
          <t>NEW</t>
        </is>
      </c>
      <c r="G4" s="6" t="inlineStr"/>
      <c r="H4" s="2" t="inlineStr">
        <is>
          <t>Liên hệ trong 24 giờ</t>
        </is>
      </c>
      <c r="I4" s="2" t="inlineStr"/>
      <c r="J4" s="2" t="inlineStr">
        <is>
          <t>CHƯA GỬI</t>
        </is>
      </c>
      <c r="K4" s="7" t="n">
        <v>0</v>
      </c>
      <c r="L4" s="2" t="inlineStr">
        <is>
          <t>CHƯA</t>
        </is>
      </c>
      <c r="M4" s="2" t="inlineStr"/>
    </row>
    <row r="5">
      <c r="A5" s="3" t="inlineStr">
        <is>
          <t>HV04</t>
        </is>
      </c>
      <c r="B5" s="3" t="inlineStr"/>
      <c r="C5" s="3" t="inlineStr"/>
      <c r="D5" s="3" t="inlineStr"/>
      <c r="E5" s="3" t="inlineStr"/>
      <c r="F5" s="3" t="inlineStr">
        <is>
          <t>NEW</t>
        </is>
      </c>
      <c r="G5" s="8" t="inlineStr"/>
      <c r="H5" s="3" t="inlineStr">
        <is>
          <t>Liên hệ trong 24 giờ</t>
        </is>
      </c>
      <c r="I5" s="3" t="inlineStr"/>
      <c r="J5" s="3" t="inlineStr">
        <is>
          <t>CHƯA GỬI</t>
        </is>
      </c>
      <c r="K5" s="4" t="n">
        <v>0</v>
      </c>
      <c r="L5" s="3" t="inlineStr">
        <is>
          <t>CHƯA</t>
        </is>
      </c>
      <c r="M5" s="3" t="inlineStr"/>
    </row>
    <row r="6">
      <c r="A6" s="2" t="inlineStr">
        <is>
          <t>HV05</t>
        </is>
      </c>
      <c r="B6" s="2" t="inlineStr"/>
      <c r="C6" s="2" t="inlineStr"/>
      <c r="D6" s="2" t="inlineStr"/>
      <c r="E6" s="2" t="inlineStr"/>
      <c r="F6" s="2" t="inlineStr">
        <is>
          <t>NEW</t>
        </is>
      </c>
      <c r="G6" s="6" t="inlineStr"/>
      <c r="H6" s="2" t="inlineStr">
        <is>
          <t>Liên hệ trong 24 giờ</t>
        </is>
      </c>
      <c r="I6" s="2" t="inlineStr"/>
      <c r="J6" s="2" t="inlineStr">
        <is>
          <t>CHƯA GỬI</t>
        </is>
      </c>
      <c r="K6" s="7" t="n">
        <v>0</v>
      </c>
      <c r="L6" s="2" t="inlineStr">
        <is>
          <t>CHƯA</t>
        </is>
      </c>
      <c r="M6" s="2" t="inlineStr"/>
    </row>
    <row r="7">
      <c r="A7" s="3" t="inlineStr">
        <is>
          <t>HV06</t>
        </is>
      </c>
      <c r="B7" s="3" t="inlineStr"/>
      <c r="C7" s="3" t="inlineStr"/>
      <c r="D7" s="3" t="inlineStr"/>
      <c r="E7" s="3" t="inlineStr"/>
      <c r="F7" s="3" t="inlineStr">
        <is>
          <t>NEW</t>
        </is>
      </c>
      <c r="G7" s="8" t="inlineStr"/>
      <c r="H7" s="3" t="inlineStr">
        <is>
          <t>Liên hệ trong 24 giờ</t>
        </is>
      </c>
      <c r="I7" s="3" t="inlineStr"/>
      <c r="J7" s="3" t="inlineStr">
        <is>
          <t>CHƯA GỬI</t>
        </is>
      </c>
      <c r="K7" s="4" t="n">
        <v>0</v>
      </c>
      <c r="L7" s="3" t="inlineStr">
        <is>
          <t>CHƯA</t>
        </is>
      </c>
      <c r="M7" s="3" t="inlineStr"/>
    </row>
    <row r="8">
      <c r="A8" s="2" t="inlineStr">
        <is>
          <t>HV07</t>
        </is>
      </c>
      <c r="B8" s="2" t="inlineStr"/>
      <c r="C8" s="2" t="inlineStr"/>
      <c r="D8" s="2" t="inlineStr"/>
      <c r="E8" s="2" t="inlineStr"/>
      <c r="F8" s="2" t="inlineStr">
        <is>
          <t>NEW</t>
        </is>
      </c>
      <c r="G8" s="6" t="inlineStr"/>
      <c r="H8" s="2" t="inlineStr">
        <is>
          <t>Liên hệ trong 24 giờ</t>
        </is>
      </c>
      <c r="I8" s="2" t="inlineStr"/>
      <c r="J8" s="2" t="inlineStr">
        <is>
          <t>CHƯA GỬI</t>
        </is>
      </c>
      <c r="K8" s="7" t="n">
        <v>0</v>
      </c>
      <c r="L8" s="2" t="inlineStr">
        <is>
          <t>CHƯA</t>
        </is>
      </c>
      <c r="M8" s="2" t="inlineStr"/>
    </row>
    <row r="9">
      <c r="A9" s="3" t="inlineStr">
        <is>
          <t>HV08</t>
        </is>
      </c>
      <c r="B9" s="3" t="inlineStr"/>
      <c r="C9" s="3" t="inlineStr"/>
      <c r="D9" s="3" t="inlineStr"/>
      <c r="E9" s="3" t="inlineStr"/>
      <c r="F9" s="3" t="inlineStr">
        <is>
          <t>NEW</t>
        </is>
      </c>
      <c r="G9" s="8" t="inlineStr"/>
      <c r="H9" s="3" t="inlineStr">
        <is>
          <t>Liên hệ trong 24 giờ</t>
        </is>
      </c>
      <c r="I9" s="3" t="inlineStr"/>
      <c r="J9" s="3" t="inlineStr">
        <is>
          <t>CHƯA GỬI</t>
        </is>
      </c>
      <c r="K9" s="4" t="n">
        <v>0</v>
      </c>
      <c r="L9" s="3" t="inlineStr">
        <is>
          <t>CHƯA</t>
        </is>
      </c>
      <c r="M9" s="3" t="inlineStr"/>
    </row>
    <row r="10">
      <c r="A10" s="2" t="inlineStr">
        <is>
          <t>HV09</t>
        </is>
      </c>
      <c r="B10" s="2" t="inlineStr"/>
      <c r="C10" s="2" t="inlineStr"/>
      <c r="D10" s="2" t="inlineStr"/>
      <c r="E10" s="2" t="inlineStr"/>
      <c r="F10" s="2" t="inlineStr">
        <is>
          <t>NEW</t>
        </is>
      </c>
      <c r="G10" s="6" t="inlineStr"/>
      <c r="H10" s="2" t="inlineStr">
        <is>
          <t>Liên hệ trong 24 giờ</t>
        </is>
      </c>
      <c r="I10" s="2" t="inlineStr"/>
      <c r="J10" s="2" t="inlineStr">
        <is>
          <t>CHƯA GỬI</t>
        </is>
      </c>
      <c r="K10" s="7" t="n">
        <v>0</v>
      </c>
      <c r="L10" s="2" t="inlineStr">
        <is>
          <t>CHƯA</t>
        </is>
      </c>
      <c r="M10" s="2" t="inlineStr"/>
    </row>
    <row r="11">
      <c r="A11" s="3" t="inlineStr">
        <is>
          <t>HV10</t>
        </is>
      </c>
      <c r="B11" s="3" t="inlineStr"/>
      <c r="C11" s="3" t="inlineStr"/>
      <c r="D11" s="3" t="inlineStr"/>
      <c r="E11" s="3" t="inlineStr"/>
      <c r="F11" s="3" t="inlineStr">
        <is>
          <t>NEW</t>
        </is>
      </c>
      <c r="G11" s="8" t="inlineStr"/>
      <c r="H11" s="3" t="inlineStr">
        <is>
          <t>Liên hệ trong 24 giờ</t>
        </is>
      </c>
      <c r="I11" s="3" t="inlineStr"/>
      <c r="J11" s="3" t="inlineStr">
        <is>
          <t>CHƯA GỬI</t>
        </is>
      </c>
      <c r="K11" s="4" t="n">
        <v>0</v>
      </c>
      <c r="L11" s="3" t="inlineStr">
        <is>
          <t>CHƯA</t>
        </is>
      </c>
      <c r="M11" s="3" t="inlineStr"/>
    </row>
    <row r="12">
      <c r="A12" s="2" t="inlineStr">
        <is>
          <t>HV11</t>
        </is>
      </c>
      <c r="B12" s="2" t="inlineStr"/>
      <c r="C12" s="2" t="inlineStr"/>
      <c r="D12" s="2" t="inlineStr"/>
      <c r="E12" s="2" t="inlineStr"/>
      <c r="F12" s="2" t="inlineStr">
        <is>
          <t>NEW</t>
        </is>
      </c>
      <c r="G12" s="6" t="inlineStr"/>
      <c r="H12" s="2" t="inlineStr">
        <is>
          <t>Liên hệ trong 24 giờ</t>
        </is>
      </c>
      <c r="I12" s="2" t="inlineStr"/>
      <c r="J12" s="2" t="inlineStr">
        <is>
          <t>CHƯA GỬI</t>
        </is>
      </c>
      <c r="K12" s="7" t="n">
        <v>0</v>
      </c>
      <c r="L12" s="2" t="inlineStr">
        <is>
          <t>CHƯA</t>
        </is>
      </c>
      <c r="M12" s="2" t="inlineStr"/>
    </row>
    <row r="13">
      <c r="A13" s="3" t="inlineStr">
        <is>
          <t>HV12</t>
        </is>
      </c>
      <c r="B13" s="3" t="inlineStr"/>
      <c r="C13" s="3" t="inlineStr"/>
      <c r="D13" s="3" t="inlineStr"/>
      <c r="E13" s="3" t="inlineStr"/>
      <c r="F13" s="3" t="inlineStr">
        <is>
          <t>NEW</t>
        </is>
      </c>
      <c r="G13" s="8" t="inlineStr"/>
      <c r="H13" s="3" t="inlineStr">
        <is>
          <t>Liên hệ trong 24 giờ</t>
        </is>
      </c>
      <c r="I13" s="3" t="inlineStr"/>
      <c r="J13" s="3" t="inlineStr">
        <is>
          <t>CHƯA GỬI</t>
        </is>
      </c>
      <c r="K13" s="4" t="n">
        <v>0</v>
      </c>
      <c r="L13" s="3" t="inlineStr">
        <is>
          <t>CHƯA</t>
        </is>
      </c>
      <c r="M13" s="3" t="inlineStr"/>
    </row>
    <row r="14">
      <c r="A14" s="2" t="inlineStr">
        <is>
          <t>HV13</t>
        </is>
      </c>
      <c r="B14" s="2" t="inlineStr"/>
      <c r="C14" s="2" t="inlineStr"/>
      <c r="D14" s="2" t="inlineStr"/>
      <c r="E14" s="2" t="inlineStr"/>
      <c r="F14" s="2" t="inlineStr">
        <is>
          <t>NEW</t>
        </is>
      </c>
      <c r="G14" s="6" t="inlineStr"/>
      <c r="H14" s="2" t="inlineStr">
        <is>
          <t>Liên hệ trong 24 giờ</t>
        </is>
      </c>
      <c r="I14" s="2" t="inlineStr"/>
      <c r="J14" s="2" t="inlineStr">
        <is>
          <t>CHƯA GỬI</t>
        </is>
      </c>
      <c r="K14" s="7" t="n">
        <v>0</v>
      </c>
      <c r="L14" s="2" t="inlineStr">
        <is>
          <t>CHƯA</t>
        </is>
      </c>
      <c r="M14" s="2" t="inlineStr"/>
    </row>
    <row r="15">
      <c r="A15" s="3" t="inlineStr">
        <is>
          <t>HV14</t>
        </is>
      </c>
      <c r="B15" s="3" t="inlineStr"/>
      <c r="C15" s="3" t="inlineStr"/>
      <c r="D15" s="3" t="inlineStr"/>
      <c r="E15" s="3" t="inlineStr"/>
      <c r="F15" s="3" t="inlineStr">
        <is>
          <t>NEW</t>
        </is>
      </c>
      <c r="G15" s="8" t="inlineStr"/>
      <c r="H15" s="3" t="inlineStr">
        <is>
          <t>Liên hệ trong 24 giờ</t>
        </is>
      </c>
      <c r="I15" s="3" t="inlineStr"/>
      <c r="J15" s="3" t="inlineStr">
        <is>
          <t>CHƯA GỬI</t>
        </is>
      </c>
      <c r="K15" s="4" t="n">
        <v>0</v>
      </c>
      <c r="L15" s="3" t="inlineStr">
        <is>
          <t>CHƯA</t>
        </is>
      </c>
      <c r="M15" s="3" t="inlineStr"/>
    </row>
    <row r="16">
      <c r="A16" s="2" t="inlineStr">
        <is>
          <t>HV15</t>
        </is>
      </c>
      <c r="B16" s="2" t="inlineStr"/>
      <c r="C16" s="2" t="inlineStr"/>
      <c r="D16" s="2" t="inlineStr"/>
      <c r="E16" s="2" t="inlineStr"/>
      <c r="F16" s="2" t="inlineStr">
        <is>
          <t>NEW</t>
        </is>
      </c>
      <c r="G16" s="6" t="inlineStr"/>
      <c r="H16" s="2" t="inlineStr">
        <is>
          <t>Liên hệ trong 24 giờ</t>
        </is>
      </c>
      <c r="I16" s="2" t="inlineStr"/>
      <c r="J16" s="2" t="inlineStr">
        <is>
          <t>CHƯA GỬI</t>
        </is>
      </c>
      <c r="K16" s="7" t="n">
        <v>0</v>
      </c>
      <c r="L16" s="2" t="inlineStr">
        <is>
          <t>CHƯA</t>
        </is>
      </c>
      <c r="M16" s="2" t="inlineStr"/>
    </row>
  </sheetData>
  <autoFilter ref="A1:M16"/>
  <dataValidations count="4">
    <dataValidation sqref="F2:F16" showDropDown="0" showInputMessage="0" showErrorMessage="0" allowBlank="0" type="list">
      <formula1>"NEW,CẦN BỔ SUNG,SẴN SÀNG,KHÔNG PHÙ HỢP,RÚT HỒ SƠ"</formula1>
    </dataValidation>
    <dataValidation sqref="J2:J16" showDropDown="0" showInputMessage="0" showErrorMessage="0" allowBlank="0" type="list">
      <formula1>"CHƯA GỬI,ĐÃ GỬI,ĐÃ THANH TOÁN,HOÀN PHÍ"</formula1>
    </dataValidation>
    <dataValidation sqref="L2:L16" showDropDown="0" showInputMessage="0" showErrorMessage="0" allowBlank="0" type="list">
      <formula1>"CHƯA,ĐANG LÀM,HOÀN TẤT"</formula1>
    </dataValidation>
    <dataValidation sqref="I2:I16" showDropDown="0" showInputMessage="0" showErrorMessage="0" allowBlank="0" type="list">
      <formula1>"Sáng lập 3.900.000,Chính thức 4.900.000"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4" customWidth="1" min="3" max="3"/>
    <col width="13" customWidth="1" min="4" max="4"/>
    <col width="16" customWidth="1" min="5" max="5"/>
    <col width="12" customWidth="1" min="6" max="6"/>
    <col width="17" customWidth="1" min="7" max="7"/>
    <col width="43" customWidth="1" min="8" max="8"/>
    <col width="16" customWidth="1" min="9" max="9"/>
    <col width="30" customWidth="1" min="10" max="10"/>
    <col width="30" customWidth="1" min="11" max="11"/>
    <col width="43" customWidth="1" min="12" max="12"/>
  </cols>
  <sheetData>
    <row r="1" ht="34" customHeight="1">
      <c r="A1" s="1" t="inlineStr">
        <is>
          <t>Mã</t>
        </is>
      </c>
      <c r="B1" s="1" t="inlineStr">
        <is>
          <t>Loại buổi</t>
        </is>
      </c>
      <c r="C1" s="1" t="inlineStr">
        <is>
          <t>Ngày</t>
        </is>
      </c>
      <c r="D1" s="1" t="inlineStr">
        <is>
          <t>Thứ</t>
        </is>
      </c>
      <c r="E1" s="1" t="inlineStr">
        <is>
          <t>Giờ</t>
        </is>
      </c>
      <c r="F1" s="1" t="inlineStr">
        <is>
          <t>Thời lượng</t>
        </is>
      </c>
      <c r="G1" s="1" t="inlineStr">
        <is>
          <t>Hình thức</t>
        </is>
      </c>
      <c r="H1" s="1" t="inlineStr">
        <is>
          <t>Chủ đề/Kết quả</t>
        </is>
      </c>
      <c r="I1" s="1" t="inlineStr">
        <is>
          <t>Trạng thái</t>
        </is>
      </c>
      <c r="J1" s="1" t="inlineStr">
        <is>
          <t>Link Meet</t>
        </is>
      </c>
      <c r="K1" s="1" t="inlineStr">
        <is>
          <t>Link tài liệu</t>
        </is>
      </c>
      <c r="L1" s="1" t="inlineStr">
        <is>
          <t>Việc trước 24h</t>
        </is>
      </c>
    </row>
    <row r="2">
      <c r="A2" s="2" t="inlineStr">
        <is>
          <t>ONB</t>
        </is>
      </c>
      <c r="B2" s="2" t="inlineStr">
        <is>
          <t>Onboarding</t>
        </is>
      </c>
      <c r="C2" s="6" t="n">
        <v>46288</v>
      </c>
      <c r="D2" s="2" t="inlineStr">
        <is>
          <t>Thứ Tư</t>
        </is>
      </c>
      <c r="E2" s="2" t="inlineStr">
        <is>
          <t>20:00–20:45</t>
        </is>
      </c>
      <c r="F2" s="2" t="n">
        <v>45</v>
      </c>
      <c r="G2" s="2" t="inlineStr">
        <is>
          <t>Google Meet</t>
        </is>
      </c>
      <c r="H2" s="2" t="inlineStr">
        <is>
          <t>Kiểm tra tài khoản, dữ liệu, quy trình đầu tiên và baseline</t>
        </is>
      </c>
      <c r="I2" s="2" t="inlineStr">
        <is>
          <t>DỰ KIẾN</t>
        </is>
      </c>
      <c r="J2" s="2" t="inlineStr"/>
      <c r="K2" s="2" t="inlineStr"/>
      <c r="L2" s="2" t="inlineStr">
        <is>
          <t>Kiểm tra link, demo, dữ liệu, rubric và nhắc lịch</t>
        </is>
      </c>
    </row>
    <row r="3">
      <c r="A3" s="3" t="inlineStr">
        <is>
          <t>W1</t>
        </is>
      </c>
      <c r="B3" s="3" t="inlineStr">
        <is>
          <t>Buổi chính tuần 1</t>
        </is>
      </c>
      <c r="C3" s="8" t="n">
        <v>46291</v>
      </c>
      <c r="D3" s="3" t="inlineStr">
        <is>
          <t>Thứ Bảy</t>
        </is>
      </c>
      <c r="E3" s="3" t="inlineStr">
        <is>
          <t>19:30–22:00</t>
        </is>
      </c>
      <c r="F3" s="3" t="n">
        <v>150</v>
      </c>
      <c r="G3" s="3" t="inlineStr">
        <is>
          <t>Google Meet</t>
        </is>
      </c>
      <c r="H3" s="3" t="inlineStr">
        <is>
          <t>Làm chủ Claude và tư duy giao việc</t>
        </is>
      </c>
      <c r="I3" s="3" t="inlineStr">
        <is>
          <t>DỰ KIẾN</t>
        </is>
      </c>
      <c r="J3" s="3" t="inlineStr"/>
      <c r="K3" s="3" t="inlineStr"/>
      <c r="L3" s="3" t="inlineStr">
        <is>
          <t>Kiểm tra link, demo, dữ liệu, rubric và nhắc lịch</t>
        </is>
      </c>
    </row>
    <row r="4">
      <c r="A4" s="2" t="inlineStr">
        <is>
          <t>C1</t>
        </is>
      </c>
      <c r="B4" s="2" t="inlineStr">
        <is>
          <t>AI Clinic tuần 1</t>
        </is>
      </c>
      <c r="C4" s="6" t="n">
        <v>46295</v>
      </c>
      <c r="D4" s="2" t="inlineStr">
        <is>
          <t>Thứ Tư</t>
        </is>
      </c>
      <c r="E4" s="2" t="inlineStr">
        <is>
          <t>20:00–21:00</t>
        </is>
      </c>
      <c r="F4" s="2" t="n">
        <v>60</v>
      </c>
      <c r="G4" s="2" t="inlineStr">
        <is>
          <t>Google Meet</t>
        </is>
      </c>
      <c r="H4" s="2" t="inlineStr">
        <is>
          <t>Sửa ca thực tế tuần 1; không giảng bài mới</t>
        </is>
      </c>
      <c r="I4" s="2" t="inlineStr">
        <is>
          <t>DỰ KIẾN</t>
        </is>
      </c>
      <c r="J4" s="2" t="inlineStr"/>
      <c r="K4" s="2" t="inlineStr"/>
      <c r="L4" s="2" t="inlineStr">
        <is>
          <t>Kiểm tra link, demo, dữ liệu, rubric và nhắc lịch</t>
        </is>
      </c>
    </row>
    <row r="5">
      <c r="A5" s="3" t="inlineStr">
        <is>
          <t>W2</t>
        </is>
      </c>
      <c r="B5" s="3" t="inlineStr">
        <is>
          <t>Buổi chính tuần 2</t>
        </is>
      </c>
      <c r="C5" s="8" t="n">
        <v>46298</v>
      </c>
      <c r="D5" s="3" t="inlineStr">
        <is>
          <t>Thứ Bảy</t>
        </is>
      </c>
      <c r="E5" s="3" t="inlineStr">
        <is>
          <t>19:30–22:00</t>
        </is>
      </c>
      <c r="F5" s="3" t="n">
        <v>150</v>
      </c>
      <c r="G5" s="3" t="inlineStr">
        <is>
          <t>Google Meet</t>
        </is>
      </c>
      <c r="H5" s="3" t="inlineStr">
        <is>
          <t>Xây trợ lý hiểu doanh nghiệp</t>
        </is>
      </c>
      <c r="I5" s="3" t="inlineStr">
        <is>
          <t>DỰ KIẾN</t>
        </is>
      </c>
      <c r="J5" s="3" t="inlineStr"/>
      <c r="K5" s="3" t="inlineStr"/>
      <c r="L5" s="3" t="inlineStr">
        <is>
          <t>Kiểm tra link, demo, dữ liệu, rubric và nhắc lịch</t>
        </is>
      </c>
    </row>
    <row r="6">
      <c r="A6" s="2" t="inlineStr">
        <is>
          <t>C2</t>
        </is>
      </c>
      <c r="B6" s="2" t="inlineStr">
        <is>
          <t>AI Clinic tuần 2</t>
        </is>
      </c>
      <c r="C6" s="6" t="n">
        <v>46302</v>
      </c>
      <c r="D6" s="2" t="inlineStr">
        <is>
          <t>Thứ Tư</t>
        </is>
      </c>
      <c r="E6" s="2" t="inlineStr">
        <is>
          <t>20:00–21:00</t>
        </is>
      </c>
      <c r="F6" s="2" t="n">
        <v>60</v>
      </c>
      <c r="G6" s="2" t="inlineStr">
        <is>
          <t>Google Meet</t>
        </is>
      </c>
      <c r="H6" s="2" t="inlineStr">
        <is>
          <t>Sửa ca thực tế tuần 2; không giảng bài mới</t>
        </is>
      </c>
      <c r="I6" s="2" t="inlineStr">
        <is>
          <t>DỰ KIẾN</t>
        </is>
      </c>
      <c r="J6" s="2" t="inlineStr"/>
      <c r="K6" s="2" t="inlineStr"/>
      <c r="L6" s="2" t="inlineStr">
        <is>
          <t>Kiểm tra link, demo, dữ liệu, rubric và nhắc lịch</t>
        </is>
      </c>
    </row>
    <row r="7">
      <c r="A7" s="3" t="inlineStr">
        <is>
          <t>W3</t>
        </is>
      </c>
      <c r="B7" s="3" t="inlineStr">
        <is>
          <t>Buổi chính tuần 3</t>
        </is>
      </c>
      <c r="C7" s="8" t="n">
        <v>46305</v>
      </c>
      <c r="D7" s="3" t="inlineStr">
        <is>
          <t>Thứ Bảy</t>
        </is>
      </c>
      <c r="E7" s="3" t="inlineStr">
        <is>
          <t>19:30–22:00</t>
        </is>
      </c>
      <c r="F7" s="3" t="n">
        <v>150</v>
      </c>
      <c r="G7" s="3" t="inlineStr">
        <is>
          <t>Google Meet</t>
        </is>
      </c>
      <c r="H7" s="3" t="inlineStr">
        <is>
          <t>Xây hệ thống nội dung marketing</t>
        </is>
      </c>
      <c r="I7" s="3" t="inlineStr">
        <is>
          <t>DỰ KIẾN</t>
        </is>
      </c>
      <c r="J7" s="3" t="inlineStr"/>
      <c r="K7" s="3" t="inlineStr"/>
      <c r="L7" s="3" t="inlineStr">
        <is>
          <t>Kiểm tra link, demo, dữ liệu, rubric và nhắc lịch</t>
        </is>
      </c>
    </row>
    <row r="8">
      <c r="A8" s="2" t="inlineStr">
        <is>
          <t>C3</t>
        </is>
      </c>
      <c r="B8" s="2" t="inlineStr">
        <is>
          <t>AI Clinic tuần 3</t>
        </is>
      </c>
      <c r="C8" s="6" t="n">
        <v>46309</v>
      </c>
      <c r="D8" s="2" t="inlineStr">
        <is>
          <t>Thứ Tư</t>
        </is>
      </c>
      <c r="E8" s="2" t="inlineStr">
        <is>
          <t>20:00–21:00</t>
        </is>
      </c>
      <c r="F8" s="2" t="n">
        <v>60</v>
      </c>
      <c r="G8" s="2" t="inlineStr">
        <is>
          <t>Google Meet</t>
        </is>
      </c>
      <c r="H8" s="2" t="inlineStr">
        <is>
          <t>Sửa ca thực tế tuần 3; không giảng bài mới</t>
        </is>
      </c>
      <c r="I8" s="2" t="inlineStr">
        <is>
          <t>DỰ KIẾN</t>
        </is>
      </c>
      <c r="J8" s="2" t="inlineStr"/>
      <c r="K8" s="2" t="inlineStr"/>
      <c r="L8" s="2" t="inlineStr">
        <is>
          <t>Kiểm tra link, demo, dữ liệu, rubric và nhắc lịch</t>
        </is>
      </c>
    </row>
    <row r="9">
      <c r="A9" s="3" t="inlineStr">
        <is>
          <t>W4</t>
        </is>
      </c>
      <c r="B9" s="3" t="inlineStr">
        <is>
          <t>Buổi chính tuần 4</t>
        </is>
      </c>
      <c r="C9" s="8" t="n">
        <v>46312</v>
      </c>
      <c r="D9" s="3" t="inlineStr">
        <is>
          <t>Thứ Bảy</t>
        </is>
      </c>
      <c r="E9" s="3" t="inlineStr">
        <is>
          <t>19:30–22:00</t>
        </is>
      </c>
      <c r="F9" s="3" t="n">
        <v>150</v>
      </c>
      <c r="G9" s="3" t="inlineStr">
        <is>
          <t>Google Meet</t>
        </is>
      </c>
      <c r="H9" s="3" t="inlineStr">
        <is>
          <t>Xây trợ lý bán hàng</t>
        </is>
      </c>
      <c r="I9" s="3" t="inlineStr">
        <is>
          <t>DỰ KIẾN</t>
        </is>
      </c>
      <c r="J9" s="3" t="inlineStr"/>
      <c r="K9" s="3" t="inlineStr"/>
      <c r="L9" s="3" t="inlineStr">
        <is>
          <t>Kiểm tra link, demo, dữ liệu, rubric và nhắc lịch</t>
        </is>
      </c>
    </row>
    <row r="10">
      <c r="A10" s="2" t="inlineStr">
        <is>
          <t>C4</t>
        </is>
      </c>
      <c r="B10" s="2" t="inlineStr">
        <is>
          <t>AI Clinic tuần 4</t>
        </is>
      </c>
      <c r="C10" s="6" t="n">
        <v>46316</v>
      </c>
      <c r="D10" s="2" t="inlineStr">
        <is>
          <t>Thứ Tư</t>
        </is>
      </c>
      <c r="E10" s="2" t="inlineStr">
        <is>
          <t>20:00–21:00</t>
        </is>
      </c>
      <c r="F10" s="2" t="n">
        <v>60</v>
      </c>
      <c r="G10" s="2" t="inlineStr">
        <is>
          <t>Google Meet</t>
        </is>
      </c>
      <c r="H10" s="2" t="inlineStr">
        <is>
          <t>Sửa ca thực tế tuần 4; không giảng bài mới</t>
        </is>
      </c>
      <c r="I10" s="2" t="inlineStr">
        <is>
          <t>DỰ KIẾN</t>
        </is>
      </c>
      <c r="J10" s="2" t="inlineStr"/>
      <c r="K10" s="2" t="inlineStr"/>
      <c r="L10" s="2" t="inlineStr">
        <is>
          <t>Kiểm tra link, demo, dữ liệu, rubric và nhắc lịch</t>
        </is>
      </c>
    </row>
    <row r="11">
      <c r="A11" s="3" t="inlineStr">
        <is>
          <t>W5</t>
        </is>
      </c>
      <c r="B11" s="3" t="inlineStr">
        <is>
          <t>Buổi chính tuần 5</t>
        </is>
      </c>
      <c r="C11" s="8" t="n">
        <v>46319</v>
      </c>
      <c r="D11" s="3" t="inlineStr">
        <is>
          <t>Thứ Bảy</t>
        </is>
      </c>
      <c r="E11" s="3" t="inlineStr">
        <is>
          <t>19:30–22:00</t>
        </is>
      </c>
      <c r="F11" s="3" t="n">
        <v>150</v>
      </c>
      <c r="G11" s="3" t="inlineStr">
        <is>
          <t>Google Meet</t>
        </is>
      </c>
      <c r="H11" s="3" t="inlineStr">
        <is>
          <t>Chăm sóc khách hàng và vận hành</t>
        </is>
      </c>
      <c r="I11" s="3" t="inlineStr">
        <is>
          <t>DỰ KIẾN</t>
        </is>
      </c>
      <c r="J11" s="3" t="inlineStr"/>
      <c r="K11" s="3" t="inlineStr"/>
      <c r="L11" s="3" t="inlineStr">
        <is>
          <t>Kiểm tra link, demo, dữ liệu, rubric và nhắc lịch</t>
        </is>
      </c>
    </row>
    <row r="12">
      <c r="A12" s="2" t="inlineStr">
        <is>
          <t>C5</t>
        </is>
      </c>
      <c r="B12" s="2" t="inlineStr">
        <is>
          <t>AI Clinic tuần 5</t>
        </is>
      </c>
      <c r="C12" s="6" t="n">
        <v>46323</v>
      </c>
      <c r="D12" s="2" t="inlineStr">
        <is>
          <t>Thứ Tư</t>
        </is>
      </c>
      <c r="E12" s="2" t="inlineStr">
        <is>
          <t>20:00–21:00</t>
        </is>
      </c>
      <c r="F12" s="2" t="n">
        <v>60</v>
      </c>
      <c r="G12" s="2" t="inlineStr">
        <is>
          <t>Google Meet</t>
        </is>
      </c>
      <c r="H12" s="2" t="inlineStr">
        <is>
          <t>Sửa ca thực tế tuần 5; không giảng bài mới</t>
        </is>
      </c>
      <c r="I12" s="2" t="inlineStr">
        <is>
          <t>DỰ KIẾN</t>
        </is>
      </c>
      <c r="J12" s="2" t="inlineStr"/>
      <c r="K12" s="2" t="inlineStr"/>
      <c r="L12" s="2" t="inlineStr">
        <is>
          <t>Kiểm tra link, demo, dữ liệu, rubric và nhắc lịch</t>
        </is>
      </c>
    </row>
    <row r="13">
      <c r="A13" s="3" t="inlineStr">
        <is>
          <t>W6</t>
        </is>
      </c>
      <c r="B13" s="3" t="inlineStr">
        <is>
          <t>Buổi chính tuần 6</t>
        </is>
      </c>
      <c r="C13" s="8" t="n">
        <v>46326</v>
      </c>
      <c r="D13" s="3" t="inlineStr">
        <is>
          <t>Thứ Bảy</t>
        </is>
      </c>
      <c r="E13" s="3" t="inlineStr">
        <is>
          <t>19:30–22:00</t>
        </is>
      </c>
      <c r="F13" s="3" t="n">
        <v>150</v>
      </c>
      <c r="G13" s="3" t="inlineStr">
        <is>
          <t>Google Meet</t>
        </is>
      </c>
      <c r="H13" s="3" t="inlineStr">
        <is>
          <t>Tự động hóa và bàn giao hệ thống</t>
        </is>
      </c>
      <c r="I13" s="3" t="inlineStr">
        <is>
          <t>DỰ KIẾN</t>
        </is>
      </c>
      <c r="J13" s="3" t="inlineStr"/>
      <c r="K13" s="3" t="inlineStr"/>
      <c r="L13" s="3" t="inlineStr">
        <is>
          <t>Kiểm tra link, demo, dữ liệu, rubric và nhắc lịch</t>
        </is>
      </c>
    </row>
    <row r="14">
      <c r="A14" s="2" t="inlineStr">
        <is>
          <t>C6</t>
        </is>
      </c>
      <c r="B14" s="2" t="inlineStr">
        <is>
          <t>AI Clinic tốt nghiệp</t>
        </is>
      </c>
      <c r="C14" s="6" t="n">
        <v>46330</v>
      </c>
      <c r="D14" s="2" t="inlineStr">
        <is>
          <t>Thứ Tư</t>
        </is>
      </c>
      <c r="E14" s="2" t="inlineStr">
        <is>
          <t>20:00–21:00</t>
        </is>
      </c>
      <c r="F14" s="2" t="n">
        <v>60</v>
      </c>
      <c r="G14" s="2" t="inlineStr">
        <is>
          <t>Google Meet</t>
        </is>
      </c>
      <c r="H14" s="2" t="inlineStr">
        <is>
          <t>Demo, sửa hồ sơ bàn giao và chốt kế hoạch duy trì</t>
        </is>
      </c>
      <c r="I14" s="2" t="inlineStr">
        <is>
          <t>DỰ KIẾN</t>
        </is>
      </c>
      <c r="J14" s="2" t="inlineStr"/>
      <c r="K14" s="2" t="inlineStr"/>
      <c r="L14" s="2" t="inlineStr">
        <is>
          <t>Kiểm tra link, demo, dữ liệu, rubric và nhắc lịch</t>
        </is>
      </c>
    </row>
  </sheetData>
  <autoFilter ref="A1:L14"/>
  <dataValidations count="1">
    <dataValidation sqref="I2:I14" showDropDown="0" showInputMessage="0" showErrorMessage="0" allowBlank="0" type="list">
      <formula1>"DỰ KIẾN,ĐÃ XÁC NHẬN,HOÀN TẤT,HOÃN"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3" customWidth="1" min="10" max="10"/>
    <col width="32" customWidth="1" min="11" max="11"/>
    <col width="14" customWidth="1" min="12" max="12"/>
    <col width="34" customWidth="1" min="13" max="13"/>
  </cols>
  <sheetData>
    <row r="1" ht="34" customHeight="1">
      <c r="A1" s="1" t="inlineStr">
        <is>
          <t>Mã HV</t>
        </is>
      </c>
      <c r="B1" s="1" t="inlineStr">
        <is>
          <t>Họ tên</t>
        </is>
      </c>
      <c r="C1" s="1" t="inlineStr">
        <is>
          <t>Onboarding</t>
        </is>
      </c>
      <c r="D1" s="1" t="inlineStr">
        <is>
          <t>Tuần 1</t>
        </is>
      </c>
      <c r="E1" s="1" t="inlineStr">
        <is>
          <t>Tuần 2</t>
        </is>
      </c>
      <c r="F1" s="1" t="inlineStr">
        <is>
          <t>Tuần 3</t>
        </is>
      </c>
      <c r="G1" s="1" t="inlineStr">
        <is>
          <t>Tuần 4</t>
        </is>
      </c>
      <c r="H1" s="1" t="inlineStr">
        <is>
          <t>Tuần 5</t>
        </is>
      </c>
      <c r="I1" s="1" t="inlineStr">
        <is>
          <t>Tuần 6</t>
        </is>
      </c>
      <c r="J1" s="1" t="inlineStr">
        <is>
          <t>Sức khỏe</t>
        </is>
      </c>
      <c r="K1" s="1" t="inlineStr">
        <is>
          <t>Hành động tiếp</t>
        </is>
      </c>
      <c r="L1" s="1" t="inlineStr">
        <is>
          <t>Hạn</t>
        </is>
      </c>
      <c r="M1" s="1" t="inlineStr">
        <is>
          <t>Ghi chú</t>
        </is>
      </c>
    </row>
    <row r="2">
      <c r="A2" s="2" t="inlineStr">
        <is>
          <t>HV01</t>
        </is>
      </c>
      <c r="B2" s="2">
        <f>'Học viên'!B2</f>
        <v/>
      </c>
      <c r="C2" s="2" t="inlineStr">
        <is>
          <t>CHƯA</t>
        </is>
      </c>
      <c r="D2" s="2" t="inlineStr">
        <is>
          <t>CHƯA NỘP</t>
        </is>
      </c>
      <c r="E2" s="2" t="inlineStr">
        <is>
          <t>CHƯA NỘP</t>
        </is>
      </c>
      <c r="F2" s="2" t="inlineStr">
        <is>
          <t>CHƯA NỘP</t>
        </is>
      </c>
      <c r="G2" s="2" t="inlineStr">
        <is>
          <t>CHƯA NỘP</t>
        </is>
      </c>
      <c r="H2" s="2" t="inlineStr">
        <is>
          <t>CHƯA NỘP</t>
        </is>
      </c>
      <c r="I2" s="2" t="inlineStr">
        <is>
          <t>CHƯA NỘP</t>
        </is>
      </c>
      <c r="J2" s="2" t="inlineStr"/>
      <c r="K2" s="2" t="inlineStr"/>
      <c r="L2" s="2" t="inlineStr"/>
      <c r="M2" s="2" t="inlineStr"/>
    </row>
    <row r="3">
      <c r="A3" s="3" t="inlineStr">
        <is>
          <t>HV02</t>
        </is>
      </c>
      <c r="B3" s="3">
        <f>'Học viên'!B3</f>
        <v/>
      </c>
      <c r="C3" s="3" t="inlineStr">
        <is>
          <t>CHƯA</t>
        </is>
      </c>
      <c r="D3" s="3" t="inlineStr">
        <is>
          <t>CHƯA NỘP</t>
        </is>
      </c>
      <c r="E3" s="3" t="inlineStr">
        <is>
          <t>CHƯA NỘP</t>
        </is>
      </c>
      <c r="F3" s="3" t="inlineStr">
        <is>
          <t>CHƯA NỘP</t>
        </is>
      </c>
      <c r="G3" s="3" t="inlineStr">
        <is>
          <t>CHƯA NỘP</t>
        </is>
      </c>
      <c r="H3" s="3" t="inlineStr">
        <is>
          <t>CHƯA NỘP</t>
        </is>
      </c>
      <c r="I3" s="3" t="inlineStr">
        <is>
          <t>CHƯA NỘP</t>
        </is>
      </c>
      <c r="J3" s="3" t="inlineStr"/>
      <c r="K3" s="3" t="inlineStr"/>
      <c r="L3" s="3" t="inlineStr"/>
      <c r="M3" s="3" t="inlineStr"/>
    </row>
    <row r="4">
      <c r="A4" s="2" t="inlineStr">
        <is>
          <t>HV03</t>
        </is>
      </c>
      <c r="B4" s="2">
        <f>'Học viên'!B4</f>
        <v/>
      </c>
      <c r="C4" s="2" t="inlineStr">
        <is>
          <t>CHƯA</t>
        </is>
      </c>
      <c r="D4" s="2" t="inlineStr">
        <is>
          <t>CHƯA NỘP</t>
        </is>
      </c>
      <c r="E4" s="2" t="inlineStr">
        <is>
          <t>CHƯA NỘP</t>
        </is>
      </c>
      <c r="F4" s="2" t="inlineStr">
        <is>
          <t>CHƯA NỘP</t>
        </is>
      </c>
      <c r="G4" s="2" t="inlineStr">
        <is>
          <t>CHƯA NỘP</t>
        </is>
      </c>
      <c r="H4" s="2" t="inlineStr">
        <is>
          <t>CHƯA NỘP</t>
        </is>
      </c>
      <c r="I4" s="2" t="inlineStr">
        <is>
          <t>CHƯA NỘP</t>
        </is>
      </c>
      <c r="J4" s="2" t="inlineStr"/>
      <c r="K4" s="2" t="inlineStr"/>
      <c r="L4" s="2" t="inlineStr"/>
      <c r="M4" s="2" t="inlineStr"/>
    </row>
    <row r="5">
      <c r="A5" s="3" t="inlineStr">
        <is>
          <t>HV04</t>
        </is>
      </c>
      <c r="B5" s="3">
        <f>'Học viên'!B5</f>
        <v/>
      </c>
      <c r="C5" s="3" t="inlineStr">
        <is>
          <t>CHƯA</t>
        </is>
      </c>
      <c r="D5" s="3" t="inlineStr">
        <is>
          <t>CHƯA NỘP</t>
        </is>
      </c>
      <c r="E5" s="3" t="inlineStr">
        <is>
          <t>CHƯA NỘP</t>
        </is>
      </c>
      <c r="F5" s="3" t="inlineStr">
        <is>
          <t>CHƯA NỘP</t>
        </is>
      </c>
      <c r="G5" s="3" t="inlineStr">
        <is>
          <t>CHƯA NỘP</t>
        </is>
      </c>
      <c r="H5" s="3" t="inlineStr">
        <is>
          <t>CHƯA NỘP</t>
        </is>
      </c>
      <c r="I5" s="3" t="inlineStr">
        <is>
          <t>CHƯA NỘP</t>
        </is>
      </c>
      <c r="J5" s="3" t="inlineStr"/>
      <c r="K5" s="3" t="inlineStr"/>
      <c r="L5" s="3" t="inlineStr"/>
      <c r="M5" s="3" t="inlineStr"/>
    </row>
    <row r="6">
      <c r="A6" s="2" t="inlineStr">
        <is>
          <t>HV05</t>
        </is>
      </c>
      <c r="B6" s="2">
        <f>'Học viên'!B6</f>
        <v/>
      </c>
      <c r="C6" s="2" t="inlineStr">
        <is>
          <t>CHƯA</t>
        </is>
      </c>
      <c r="D6" s="2" t="inlineStr">
        <is>
          <t>CHƯA NỘP</t>
        </is>
      </c>
      <c r="E6" s="2" t="inlineStr">
        <is>
          <t>CHƯA NỘP</t>
        </is>
      </c>
      <c r="F6" s="2" t="inlineStr">
        <is>
          <t>CHƯA NỘP</t>
        </is>
      </c>
      <c r="G6" s="2" t="inlineStr">
        <is>
          <t>CHƯA NỘP</t>
        </is>
      </c>
      <c r="H6" s="2" t="inlineStr">
        <is>
          <t>CHƯA NỘP</t>
        </is>
      </c>
      <c r="I6" s="2" t="inlineStr">
        <is>
          <t>CHƯA NỘP</t>
        </is>
      </c>
      <c r="J6" s="2" t="inlineStr"/>
      <c r="K6" s="2" t="inlineStr"/>
      <c r="L6" s="2" t="inlineStr"/>
      <c r="M6" s="2" t="inlineStr"/>
    </row>
    <row r="7">
      <c r="A7" s="3" t="inlineStr">
        <is>
          <t>HV06</t>
        </is>
      </c>
      <c r="B7" s="3">
        <f>'Học viên'!B7</f>
        <v/>
      </c>
      <c r="C7" s="3" t="inlineStr">
        <is>
          <t>CHƯA</t>
        </is>
      </c>
      <c r="D7" s="3" t="inlineStr">
        <is>
          <t>CHƯA NỘP</t>
        </is>
      </c>
      <c r="E7" s="3" t="inlineStr">
        <is>
          <t>CHƯA NỘP</t>
        </is>
      </c>
      <c r="F7" s="3" t="inlineStr">
        <is>
          <t>CHƯA NỘP</t>
        </is>
      </c>
      <c r="G7" s="3" t="inlineStr">
        <is>
          <t>CHƯA NỘP</t>
        </is>
      </c>
      <c r="H7" s="3" t="inlineStr">
        <is>
          <t>CHƯA NỘP</t>
        </is>
      </c>
      <c r="I7" s="3" t="inlineStr">
        <is>
          <t>CHƯA NỘP</t>
        </is>
      </c>
      <c r="J7" s="3" t="inlineStr"/>
      <c r="K7" s="3" t="inlineStr"/>
      <c r="L7" s="3" t="inlineStr"/>
      <c r="M7" s="3" t="inlineStr"/>
    </row>
    <row r="8">
      <c r="A8" s="2" t="inlineStr">
        <is>
          <t>HV07</t>
        </is>
      </c>
      <c r="B8" s="2">
        <f>'Học viên'!B8</f>
        <v/>
      </c>
      <c r="C8" s="2" t="inlineStr">
        <is>
          <t>CHƯA</t>
        </is>
      </c>
      <c r="D8" s="2" t="inlineStr">
        <is>
          <t>CHƯA NỘP</t>
        </is>
      </c>
      <c r="E8" s="2" t="inlineStr">
        <is>
          <t>CHƯA NỘP</t>
        </is>
      </c>
      <c r="F8" s="2" t="inlineStr">
        <is>
          <t>CHƯA NỘP</t>
        </is>
      </c>
      <c r="G8" s="2" t="inlineStr">
        <is>
          <t>CHƯA NỘP</t>
        </is>
      </c>
      <c r="H8" s="2" t="inlineStr">
        <is>
          <t>CHƯA NỘP</t>
        </is>
      </c>
      <c r="I8" s="2" t="inlineStr">
        <is>
          <t>CHƯA NỘP</t>
        </is>
      </c>
      <c r="J8" s="2" t="inlineStr"/>
      <c r="K8" s="2" t="inlineStr"/>
      <c r="L8" s="2" t="inlineStr"/>
      <c r="M8" s="2" t="inlineStr"/>
    </row>
    <row r="9">
      <c r="A9" s="3" t="inlineStr">
        <is>
          <t>HV08</t>
        </is>
      </c>
      <c r="B9" s="3">
        <f>'Học viên'!B9</f>
        <v/>
      </c>
      <c r="C9" s="3" t="inlineStr">
        <is>
          <t>CHƯA</t>
        </is>
      </c>
      <c r="D9" s="3" t="inlineStr">
        <is>
          <t>CHƯA NỘP</t>
        </is>
      </c>
      <c r="E9" s="3" t="inlineStr">
        <is>
          <t>CHƯA NỘP</t>
        </is>
      </c>
      <c r="F9" s="3" t="inlineStr">
        <is>
          <t>CHƯA NỘP</t>
        </is>
      </c>
      <c r="G9" s="3" t="inlineStr">
        <is>
          <t>CHƯA NỘP</t>
        </is>
      </c>
      <c r="H9" s="3" t="inlineStr">
        <is>
          <t>CHƯA NỘP</t>
        </is>
      </c>
      <c r="I9" s="3" t="inlineStr">
        <is>
          <t>CHƯA NỘP</t>
        </is>
      </c>
      <c r="J9" s="3" t="inlineStr"/>
      <c r="K9" s="3" t="inlineStr"/>
      <c r="L9" s="3" t="inlineStr"/>
      <c r="M9" s="3" t="inlineStr"/>
    </row>
    <row r="10">
      <c r="A10" s="2" t="inlineStr">
        <is>
          <t>HV09</t>
        </is>
      </c>
      <c r="B10" s="2">
        <f>'Học viên'!B10</f>
        <v/>
      </c>
      <c r="C10" s="2" t="inlineStr">
        <is>
          <t>CHƯA</t>
        </is>
      </c>
      <c r="D10" s="2" t="inlineStr">
        <is>
          <t>CHƯA NỘP</t>
        </is>
      </c>
      <c r="E10" s="2" t="inlineStr">
        <is>
          <t>CHƯA NỘP</t>
        </is>
      </c>
      <c r="F10" s="2" t="inlineStr">
        <is>
          <t>CHƯA NỘP</t>
        </is>
      </c>
      <c r="G10" s="2" t="inlineStr">
        <is>
          <t>CHƯA NỘP</t>
        </is>
      </c>
      <c r="H10" s="2" t="inlineStr">
        <is>
          <t>CHƯA NỘP</t>
        </is>
      </c>
      <c r="I10" s="2" t="inlineStr">
        <is>
          <t>CHƯA NỘP</t>
        </is>
      </c>
      <c r="J10" s="2" t="inlineStr"/>
      <c r="K10" s="2" t="inlineStr"/>
      <c r="L10" s="2" t="inlineStr"/>
      <c r="M10" s="2" t="inlineStr"/>
    </row>
    <row r="11">
      <c r="A11" s="3" t="inlineStr">
        <is>
          <t>HV10</t>
        </is>
      </c>
      <c r="B11" s="3">
        <f>'Học viên'!B11</f>
        <v/>
      </c>
      <c r="C11" s="3" t="inlineStr">
        <is>
          <t>CHƯA</t>
        </is>
      </c>
      <c r="D11" s="3" t="inlineStr">
        <is>
          <t>CHƯA NỘP</t>
        </is>
      </c>
      <c r="E11" s="3" t="inlineStr">
        <is>
          <t>CHƯA NỘP</t>
        </is>
      </c>
      <c r="F11" s="3" t="inlineStr">
        <is>
          <t>CHƯA NỘP</t>
        </is>
      </c>
      <c r="G11" s="3" t="inlineStr">
        <is>
          <t>CHƯA NỘP</t>
        </is>
      </c>
      <c r="H11" s="3" t="inlineStr">
        <is>
          <t>CHƯA NỘP</t>
        </is>
      </c>
      <c r="I11" s="3" t="inlineStr">
        <is>
          <t>CHƯA NỘP</t>
        </is>
      </c>
      <c r="J11" s="3" t="inlineStr"/>
      <c r="K11" s="3" t="inlineStr"/>
      <c r="L11" s="3" t="inlineStr"/>
      <c r="M11" s="3" t="inlineStr"/>
    </row>
    <row r="12">
      <c r="A12" s="2" t="inlineStr">
        <is>
          <t>HV11</t>
        </is>
      </c>
      <c r="B12" s="2">
        <f>'Học viên'!B12</f>
        <v/>
      </c>
      <c r="C12" s="2" t="inlineStr">
        <is>
          <t>CHƯA</t>
        </is>
      </c>
      <c r="D12" s="2" t="inlineStr">
        <is>
          <t>CHƯA NỘP</t>
        </is>
      </c>
      <c r="E12" s="2" t="inlineStr">
        <is>
          <t>CHƯA NỘP</t>
        </is>
      </c>
      <c r="F12" s="2" t="inlineStr">
        <is>
          <t>CHƯA NỘP</t>
        </is>
      </c>
      <c r="G12" s="2" t="inlineStr">
        <is>
          <t>CHƯA NỘP</t>
        </is>
      </c>
      <c r="H12" s="2" t="inlineStr">
        <is>
          <t>CHƯA NỘP</t>
        </is>
      </c>
      <c r="I12" s="2" t="inlineStr">
        <is>
          <t>CHƯA NỘP</t>
        </is>
      </c>
      <c r="J12" s="2" t="inlineStr"/>
      <c r="K12" s="2" t="inlineStr"/>
      <c r="L12" s="2" t="inlineStr"/>
      <c r="M12" s="2" t="inlineStr"/>
    </row>
    <row r="13">
      <c r="A13" s="3" t="inlineStr">
        <is>
          <t>HV12</t>
        </is>
      </c>
      <c r="B13" s="3">
        <f>'Học viên'!B13</f>
        <v/>
      </c>
      <c r="C13" s="3" t="inlineStr">
        <is>
          <t>CHƯA</t>
        </is>
      </c>
      <c r="D13" s="3" t="inlineStr">
        <is>
          <t>CHƯA NỘP</t>
        </is>
      </c>
      <c r="E13" s="3" t="inlineStr">
        <is>
          <t>CHƯA NỘP</t>
        </is>
      </c>
      <c r="F13" s="3" t="inlineStr">
        <is>
          <t>CHƯA NỘP</t>
        </is>
      </c>
      <c r="G13" s="3" t="inlineStr">
        <is>
          <t>CHƯA NỘP</t>
        </is>
      </c>
      <c r="H13" s="3" t="inlineStr">
        <is>
          <t>CHƯA NỘP</t>
        </is>
      </c>
      <c r="I13" s="3" t="inlineStr">
        <is>
          <t>CHƯA NỘP</t>
        </is>
      </c>
      <c r="J13" s="3" t="inlineStr"/>
      <c r="K13" s="3" t="inlineStr"/>
      <c r="L13" s="3" t="inlineStr"/>
      <c r="M13" s="3" t="inlineStr"/>
    </row>
    <row r="14">
      <c r="A14" s="2" t="inlineStr">
        <is>
          <t>HV13</t>
        </is>
      </c>
      <c r="B14" s="2">
        <f>'Học viên'!B14</f>
        <v/>
      </c>
      <c r="C14" s="2" t="inlineStr">
        <is>
          <t>CHƯA</t>
        </is>
      </c>
      <c r="D14" s="2" t="inlineStr">
        <is>
          <t>CHƯA NỘP</t>
        </is>
      </c>
      <c r="E14" s="2" t="inlineStr">
        <is>
          <t>CHƯA NỘP</t>
        </is>
      </c>
      <c r="F14" s="2" t="inlineStr">
        <is>
          <t>CHƯA NỘP</t>
        </is>
      </c>
      <c r="G14" s="2" t="inlineStr">
        <is>
          <t>CHƯA NỘP</t>
        </is>
      </c>
      <c r="H14" s="2" t="inlineStr">
        <is>
          <t>CHƯA NỘP</t>
        </is>
      </c>
      <c r="I14" s="2" t="inlineStr">
        <is>
          <t>CHƯA NỘP</t>
        </is>
      </c>
      <c r="J14" s="2" t="inlineStr"/>
      <c r="K14" s="2" t="inlineStr"/>
      <c r="L14" s="2" t="inlineStr"/>
      <c r="M14" s="2" t="inlineStr"/>
    </row>
    <row r="15">
      <c r="A15" s="3" t="inlineStr">
        <is>
          <t>HV14</t>
        </is>
      </c>
      <c r="B15" s="3">
        <f>'Học viên'!B15</f>
        <v/>
      </c>
      <c r="C15" s="3" t="inlineStr">
        <is>
          <t>CHƯA</t>
        </is>
      </c>
      <c r="D15" s="3" t="inlineStr">
        <is>
          <t>CHƯA NỘP</t>
        </is>
      </c>
      <c r="E15" s="3" t="inlineStr">
        <is>
          <t>CHƯA NỘP</t>
        </is>
      </c>
      <c r="F15" s="3" t="inlineStr">
        <is>
          <t>CHƯA NỘP</t>
        </is>
      </c>
      <c r="G15" s="3" t="inlineStr">
        <is>
          <t>CHƯA NỘP</t>
        </is>
      </c>
      <c r="H15" s="3" t="inlineStr">
        <is>
          <t>CHƯA NỘP</t>
        </is>
      </c>
      <c r="I15" s="3" t="inlineStr">
        <is>
          <t>CHƯA NỘP</t>
        </is>
      </c>
      <c r="J15" s="3" t="inlineStr"/>
      <c r="K15" s="3" t="inlineStr"/>
      <c r="L15" s="3" t="inlineStr"/>
      <c r="M15" s="3" t="inlineStr"/>
    </row>
    <row r="16">
      <c r="A16" s="2" t="inlineStr">
        <is>
          <t>HV15</t>
        </is>
      </c>
      <c r="B16" s="2">
        <f>'Học viên'!B16</f>
        <v/>
      </c>
      <c r="C16" s="2" t="inlineStr">
        <is>
          <t>CHƯA</t>
        </is>
      </c>
      <c r="D16" s="2" t="inlineStr">
        <is>
          <t>CHƯA NỘP</t>
        </is>
      </c>
      <c r="E16" s="2" t="inlineStr">
        <is>
          <t>CHƯA NỘP</t>
        </is>
      </c>
      <c r="F16" s="2" t="inlineStr">
        <is>
          <t>CHƯA NỘP</t>
        </is>
      </c>
      <c r="G16" s="2" t="inlineStr">
        <is>
          <t>CHƯA NỘP</t>
        </is>
      </c>
      <c r="H16" s="2" t="inlineStr">
        <is>
          <t>CHƯA NỘP</t>
        </is>
      </c>
      <c r="I16" s="2" t="inlineStr">
        <is>
          <t>CHƯA NỘP</t>
        </is>
      </c>
      <c r="J16" s="2" t="inlineStr"/>
      <c r="K16" s="2" t="inlineStr"/>
      <c r="L16" s="2" t="inlineStr"/>
      <c r="M16" s="2" t="inlineStr"/>
    </row>
  </sheetData>
  <autoFilter ref="A1:M16"/>
  <conditionalFormatting sqref="J2:J16">
    <cfRule type="expression" priority="1" dxfId="0">
      <formula>J2="XANH"</formula>
    </cfRule>
    <cfRule type="expression" priority="2" dxfId="1">
      <formula>J2="VÀNG"</formula>
    </cfRule>
    <cfRule type="expression" priority="3" dxfId="2">
      <formula>J2="ĐỎ"</formula>
    </cfRule>
  </conditionalFormatting>
  <dataValidations count="3">
    <dataValidation sqref="D2:I16" showDropDown="0" showInputMessage="0" showErrorMessage="0" allowBlank="0" type="list">
      <formula1>"CHƯA NỘP,CẦN SỬA,ĐẠT"</formula1>
    </dataValidation>
    <dataValidation sqref="C2:C16" showDropDown="0" showInputMessage="0" showErrorMessage="0" allowBlank="0" type="list">
      <formula1>"CHƯA,ĐANG LÀM,HOÀN TẤT"</formula1>
    </dataValidation>
    <dataValidation sqref="J2:J16" showDropDown="0" showInputMessage="0" showErrorMessage="0" allowBlank="0" type="list">
      <formula1>"XANH,VÀNG,ĐỎ"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42" customWidth="1" min="3" max="3"/>
    <col width="20" customWidth="1" min="4" max="4"/>
    <col width="23" customWidth="1" min="5" max="5"/>
    <col width="17" customWidth="1" min="6" max="6"/>
    <col width="32" customWidth="1" min="7" max="7"/>
    <col width="38" customWidth="1" min="8" max="8"/>
  </cols>
  <sheetData>
    <row r="1" ht="34" customHeight="1">
      <c r="A1" s="1" t="inlineStr">
        <is>
          <t>Mã</t>
        </is>
      </c>
      <c r="B1" s="1" t="inlineStr">
        <is>
          <t>Giai đoạn</t>
        </is>
      </c>
      <c r="C1" s="1" t="inlineStr">
        <is>
          <t>Công việc</t>
        </is>
      </c>
      <c r="D1" s="1" t="inlineStr">
        <is>
          <t>Hạn/mốc</t>
        </is>
      </c>
      <c r="E1" s="1" t="inlineStr">
        <is>
          <t>Người phụ trách</t>
        </is>
      </c>
      <c r="F1" s="1" t="inlineStr">
        <is>
          <t>Trạng thái</t>
        </is>
      </c>
      <c r="G1" s="1" t="inlineStr">
        <is>
          <t>Bằng chứng/Link</t>
        </is>
      </c>
      <c r="H1" s="1" t="inlineStr">
        <is>
          <t>Ghi chú</t>
        </is>
      </c>
    </row>
    <row r="2">
      <c r="A2" s="2" t="inlineStr">
        <is>
          <t>OP01</t>
        </is>
      </c>
      <c r="B2" s="2" t="inlineStr">
        <is>
          <t>Tuyển sinh</t>
        </is>
      </c>
      <c r="C2" s="2" t="inlineStr">
        <is>
          <t>Theo dõi website, form và hồ sơ mới</t>
        </is>
      </c>
      <c r="D2" s="2" t="inlineStr">
        <is>
          <t>Liên tục</t>
        </is>
      </c>
      <c r="E2" s="2" t="inlineStr">
        <is>
          <t>Trợ lý</t>
        </is>
      </c>
      <c r="F2" s="2" t="inlineStr">
        <is>
          <t>ĐANG LÀM</t>
        </is>
      </c>
      <c r="G2" s="2" t="inlineStr"/>
      <c r="H2" s="2" t="inlineStr">
        <is>
          <t>Chỉ báo khi có hồ sơ/lỗi thật</t>
        </is>
      </c>
    </row>
    <row r="3">
      <c r="A3" s="3" t="inlineStr">
        <is>
          <t>OP02</t>
        </is>
      </c>
      <c r="B3" s="3" t="inlineStr">
        <is>
          <t>Tuyển sinh</t>
        </is>
      </c>
      <c r="C3" s="3" t="inlineStr">
        <is>
          <t>Liên hệ hồ sơ mới</t>
        </is>
      </c>
      <c r="D3" s="3" t="inlineStr">
        <is>
          <t>≤24 giờ từ đăng ký</t>
        </is>
      </c>
      <c r="E3" s="3" t="inlineStr">
        <is>
          <t>Chủ chương trình</t>
        </is>
      </c>
      <c r="F3" s="3" t="inlineStr">
        <is>
          <t>CHƯA</t>
        </is>
      </c>
      <c r="G3" s="3" t="inlineStr"/>
      <c r="H3" s="3" t="inlineStr">
        <is>
          <t>Xác nhận phù hợp trước thanh toán</t>
        </is>
      </c>
    </row>
    <row r="4">
      <c r="A4" s="2" t="inlineStr">
        <is>
          <t>OP03</t>
        </is>
      </c>
      <c r="B4" s="2" t="inlineStr">
        <is>
          <t>Chuẩn bị</t>
        </is>
      </c>
      <c r="C4" s="2" t="inlineStr">
        <is>
          <t>Chốt lịch cohort và gửi học viên</t>
        </is>
      </c>
      <c r="D4" s="2" t="inlineStr">
        <is>
          <t>Trước 20/09</t>
        </is>
      </c>
      <c r="E4" s="2" t="inlineStr">
        <is>
          <t>Chủ chương trình</t>
        </is>
      </c>
      <c r="F4" s="2" t="inlineStr">
        <is>
          <t>CHƯA</t>
        </is>
      </c>
      <c r="G4" s="2" t="inlineStr"/>
      <c r="H4" s="2" t="inlineStr">
        <is>
          <t>Đổi lịch từ DỰ KIẾN sang ĐÃ XÁC NHẬN</t>
        </is>
      </c>
    </row>
    <row r="5">
      <c r="A5" s="3" t="inlineStr">
        <is>
          <t>OP04</t>
        </is>
      </c>
      <c r="B5" s="3" t="inlineStr">
        <is>
          <t>Chuẩn bị</t>
        </is>
      </c>
      <c r="C5" s="3" t="inlineStr">
        <is>
          <t>Tạo Meet chính + dự phòng</t>
        </is>
      </c>
      <c r="D5" s="3" t="inlineStr">
        <is>
          <t>Trước 22/09</t>
        </is>
      </c>
      <c r="E5" s="3" t="inlineStr">
        <is>
          <t>Vận hành</t>
        </is>
      </c>
      <c r="F5" s="3" t="inlineStr">
        <is>
          <t>CHƯA</t>
        </is>
      </c>
      <c r="G5" s="3" t="inlineStr"/>
      <c r="H5" s="3" t="inlineStr">
        <is>
          <t>Không phát link công khai</t>
        </is>
      </c>
    </row>
    <row r="6">
      <c r="A6" s="2" t="inlineStr">
        <is>
          <t>OP05</t>
        </is>
      </c>
      <c r="B6" s="2" t="inlineStr">
        <is>
          <t>Chuẩn bị</t>
        </is>
      </c>
      <c r="C6" s="2" t="inlineStr">
        <is>
          <t>Tạo thư mục riêng cho từng học viên</t>
        </is>
      </c>
      <c r="D6" s="2" t="inlineStr">
        <is>
          <t>Trước onboarding</t>
        </is>
      </c>
      <c r="E6" s="2" t="inlineStr">
        <is>
          <t>Vận hành</t>
        </is>
      </c>
      <c r="F6" s="2" t="inlineStr">
        <is>
          <t>CHƯA</t>
        </is>
      </c>
      <c r="G6" s="2" t="inlineStr"/>
      <c r="H6" s="2" t="inlineStr">
        <is>
          <t>Không cho xem chéo</t>
        </is>
      </c>
    </row>
    <row r="7">
      <c r="A7" s="3" t="inlineStr">
        <is>
          <t>OP06</t>
        </is>
      </c>
      <c r="B7" s="3" t="inlineStr">
        <is>
          <t>Onboarding</t>
        </is>
      </c>
      <c r="C7" s="3" t="inlineStr">
        <is>
          <t>Chạy checklist 45 phút</t>
        </is>
      </c>
      <c r="D7" s="3" t="inlineStr">
        <is>
          <t>23/09 20:00</t>
        </is>
      </c>
      <c r="E7" s="3" t="inlineStr">
        <is>
          <t>Giảng viên</t>
        </is>
      </c>
      <c r="F7" s="3" t="inlineStr">
        <is>
          <t>CHƯA</t>
        </is>
      </c>
      <c r="G7" s="3" t="inlineStr"/>
      <c r="H7" s="3" t="inlineStr">
        <is>
          <t>Tài khoản, dữ liệu, baseline</t>
        </is>
      </c>
    </row>
    <row r="8">
      <c r="A8" s="2" t="inlineStr">
        <is>
          <t>OP07</t>
        </is>
      </c>
      <c r="B8" s="2" t="inlineStr">
        <is>
          <t>Hằng tuần</t>
        </is>
      </c>
      <c r="C8" s="2" t="inlineStr">
        <is>
          <t>Kiểm tra demo, dữ liệu, rubric và link</t>
        </is>
      </c>
      <c r="D8" s="2" t="inlineStr">
        <is>
          <t>Trước buổi 24h</t>
        </is>
      </c>
      <c r="E8" s="2" t="inlineStr">
        <is>
          <t>Giảng viên/Trợ giảng</t>
        </is>
      </c>
      <c r="F8" s="2" t="inlineStr">
        <is>
          <t>CHƯA</t>
        </is>
      </c>
      <c r="G8" s="2" t="inlineStr"/>
      <c r="H8" s="2" t="inlineStr">
        <is>
          <t>Có phương án dự phòng</t>
        </is>
      </c>
    </row>
    <row r="9">
      <c r="A9" s="3" t="inlineStr">
        <is>
          <t>OP08</t>
        </is>
      </c>
      <c r="B9" s="3" t="inlineStr">
        <is>
          <t>Hằng tuần</t>
        </is>
      </c>
      <c r="C9" s="3" t="inlineStr">
        <is>
          <t>Gửi recap và hạn bài</t>
        </is>
      </c>
      <c r="D9" s="3" t="inlineStr">
        <is>
          <t>Sau buổi ≤24h</t>
        </is>
      </c>
      <c r="E9" s="3" t="inlineStr">
        <is>
          <t>Vận hành</t>
        </is>
      </c>
      <c r="F9" s="3" t="inlineStr">
        <is>
          <t>CHƯA</t>
        </is>
      </c>
      <c r="G9" s="3" t="inlineStr"/>
      <c r="H9" s="3" t="inlineStr">
        <is>
          <t>Không chứa dữ liệu riêng</t>
        </is>
      </c>
    </row>
    <row r="10">
      <c r="A10" s="2" t="inlineStr">
        <is>
          <t>OP09</t>
        </is>
      </c>
      <c r="B10" s="2" t="inlineStr">
        <is>
          <t>Hằng tuần</t>
        </is>
      </c>
      <c r="C10" s="2" t="inlineStr">
        <is>
          <t>Chấm Đạt/Cần sửa</t>
        </is>
      </c>
      <c r="D10" s="2" t="inlineStr">
        <is>
          <t>Trước buổi kế</t>
        </is>
      </c>
      <c r="E10" s="2" t="inlineStr">
        <is>
          <t>Giảng viên</t>
        </is>
      </c>
      <c r="F10" s="2" t="inlineStr">
        <is>
          <t>CHƯA</t>
        </is>
      </c>
      <c r="G10" s="2" t="inlineStr"/>
      <c r="H10" s="2" t="inlineStr">
        <is>
          <t>Một hành động sửa trong 48h</t>
        </is>
      </c>
    </row>
    <row r="11">
      <c r="A11" s="3" t="inlineStr">
        <is>
          <t>OP10</t>
        </is>
      </c>
      <c r="B11" s="3" t="inlineStr">
        <is>
          <t>Tốt nghiệp</t>
        </is>
      </c>
      <c r="C11" s="3" t="inlineStr">
        <is>
          <t>Demo, runbook và bàn giao</t>
        </is>
      </c>
      <c r="D11" s="3" t="inlineStr">
        <is>
          <t>04/11</t>
        </is>
      </c>
      <c r="E11" s="3" t="inlineStr">
        <is>
          <t>Giảng viên</t>
        </is>
      </c>
      <c r="F11" s="3" t="inlineStr">
        <is>
          <t>CHƯA</t>
        </is>
      </c>
      <c r="G11" s="3" t="inlineStr"/>
      <c r="H11" s="3" t="inlineStr">
        <is>
          <t>Có chủ sở hữu và lịch rà soát</t>
        </is>
      </c>
    </row>
    <row r="12">
      <c r="A12" s="2" t="inlineStr">
        <is>
          <t>OP11</t>
        </is>
      </c>
      <c r="B12" s="2" t="inlineStr">
        <is>
          <t>Sau khóa</t>
        </is>
      </c>
      <c r="C12" s="2" t="inlineStr">
        <is>
          <t>Phản hồi, chỉ số và quyền case study</t>
        </is>
      </c>
      <c r="D12" s="2" t="inlineStr">
        <is>
          <t>Sau khóa 7 ngày</t>
        </is>
      </c>
      <c r="E12" s="2" t="inlineStr">
        <is>
          <t>Chủ chương trình</t>
        </is>
      </c>
      <c r="F12" s="2" t="inlineStr">
        <is>
          <t>CHƯA</t>
        </is>
      </c>
      <c r="G12" s="2" t="inlineStr"/>
      <c r="H12" s="2" t="inlineStr">
        <is>
          <t>Case study cần đồng ý riêng</t>
        </is>
      </c>
    </row>
  </sheetData>
  <autoFilter ref="A1:H12"/>
  <dataValidations count="1">
    <dataValidation sqref="F2:F12" showDropDown="0" showInputMessage="0" showErrorMessage="0" allowBlank="0" type="list">
      <formula1>"CHƯA,ĐANG LÀM,CHỜ,HOÀN TẤT,HOÃN"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48" customWidth="1" min="3" max="3"/>
    <col width="65" customWidth="1" min="4" max="4"/>
    <col width="20" customWidth="1" min="5" max="5"/>
  </cols>
  <sheetData>
    <row r="1" ht="34" customHeight="1">
      <c r="A1" s="1" t="inlineStr">
        <is>
          <t>Tuần</t>
        </is>
      </c>
      <c r="B1" s="1" t="inlineStr">
        <is>
          <t>Chủ đề</t>
        </is>
      </c>
      <c r="C1" s="1" t="inlineStr">
        <is>
          <t>Sản phẩm bắt buộc</t>
        </is>
      </c>
      <c r="D1" s="1" t="inlineStr">
        <is>
          <t>Năng lực/Phạm vi</t>
        </is>
      </c>
      <c r="E1" s="1" t="inlineStr">
        <is>
          <t>Trạng thái tài liệu</t>
        </is>
      </c>
    </row>
    <row r="2">
      <c r="A2" s="2" t="n">
        <v>1</v>
      </c>
      <c r="B2" s="2" t="inlineStr">
        <is>
          <t>Làm chủ Claude và tư duy giao việc</t>
        </is>
      </c>
      <c r="C2" s="2" t="inlineStr">
        <is>
          <t>Bản đồ cơ hội AI và ba quy trình ưu tiên</t>
        </is>
      </c>
      <c r="D2" s="2" t="inlineStr">
        <is>
          <t>Phân loại việc phù hợp; giao việc theo mục tiêu, bối cảnh, đầu vào, đầu ra và tiêu chí; ẩn danh dữ liệu.</t>
        </is>
      </c>
      <c r="E2" s="2" t="inlineStr">
        <is>
          <t>SẴN SÀNG</t>
        </is>
      </c>
    </row>
    <row r="3">
      <c r="A3" s="3" t="n">
        <v>2</v>
      </c>
      <c r="B3" s="3" t="inlineStr">
        <is>
          <t>Xây trợ lý hiểu doanh nghiệp</t>
        </is>
      </c>
      <c r="C3" s="3" t="inlineStr">
        <is>
          <t>Claude Project, hồ sơ doanh nghiệp và checklist chất lượng</t>
        </is>
      </c>
      <c r="D3" s="3" t="inlineStr">
        <is>
          <t>Tổ chức nguồn; xử lý thông tin thiếu/xung đột; xây giọng thương hiệu có tiêu chí.</t>
        </is>
      </c>
      <c r="E3" s="3" t="inlineStr">
        <is>
          <t>SẴN SÀNG</t>
        </is>
      </c>
    </row>
    <row r="4">
      <c r="A4" s="2" t="n">
        <v>3</v>
      </c>
      <c r="B4" s="2" t="inlineStr">
        <is>
          <t>Xây hệ thống nội dung marketing</t>
        </is>
      </c>
      <c r="C4" s="2" t="inlineStr">
        <is>
          <t>Lịch nội dung 7 ngày và gói Facebook–email–video</t>
        </is>
      </c>
      <c r="D4" s="2" t="inlineStr">
        <is>
          <t>Tái sử dụng một nguồn đã xác minh; kiểm tra dữ kiện, giọng, kênh và CTA trước khi duyệt.</t>
        </is>
      </c>
      <c r="E4" s="2" t="inlineStr">
        <is>
          <t>SẴN SÀNG</t>
        </is>
      </c>
    </row>
    <row r="5">
      <c r="A5" s="3" t="n">
        <v>4</v>
      </c>
      <c r="B5" s="3" t="inlineStr">
        <is>
          <t>Xây trợ lý bán hàng</t>
        </is>
      </c>
      <c r="C5" s="3" t="inlineStr">
        <is>
          <t>Kịch bản khám phá, xử lý từ chối và chuỗi theo dõi ba chạm</t>
        </is>
      </c>
      <c r="D5" s="3" t="inlineStr">
        <is>
          <t>Hỗ trợ tư vấn nhưng không tự quyết giá/chiết khấu; có điều kiện dừng và bước duyệt.</t>
        </is>
      </c>
      <c r="E5" s="3" t="inlineStr">
        <is>
          <t>SẴN SÀNG</t>
        </is>
      </c>
    </row>
    <row r="6">
      <c r="A6" s="2" t="n">
        <v>5</v>
      </c>
      <c r="B6" s="2" t="inlineStr">
        <is>
          <t>Chăm sóc khách hàng và vận hành</t>
        </is>
      </c>
      <c r="C6" s="2" t="inlineStr">
        <is>
          <t>Bộ FAQ–chuyển cấp và một SOP nội bộ</t>
        </is>
      </c>
      <c r="D6" s="2" t="inlineStr">
        <is>
          <t>Phân loại yêu cầu; đặt ngưỡng chuyển cấp; SOP có vai trò, kiểm soát và bằng chứng hoàn tất.</t>
        </is>
      </c>
      <c r="E6" s="2" t="inlineStr">
        <is>
          <t>SẴN SÀNG</t>
        </is>
      </c>
    </row>
    <row r="7">
      <c r="A7" s="3" t="n">
        <v>6</v>
      </c>
      <c r="B7" s="3" t="inlineStr">
        <is>
          <t>Tự động hóa và bàn giao hệ thống</t>
        </is>
      </c>
      <c r="C7" s="3" t="inlineStr">
        <is>
          <t>Workflow chạy thử và hồ sơ bàn giao bộ máy AI</t>
        </is>
      </c>
      <c r="D7" s="3" t="inlineStr">
        <is>
          <t>Thiết kế trigger, validation, chống trùng, nhánh lỗi, log, người duyệt và runbook tắt hệ thống.</t>
        </is>
      </c>
      <c r="E7" s="3" t="inlineStr">
        <is>
          <t>SẴN SÀNG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16" customWidth="1" min="4" max="4"/>
    <col width="67" customWidth="1" min="5" max="5"/>
    <col width="18" customWidth="1" min="6" max="6"/>
    <col width="42" customWidth="1" min="7" max="7"/>
  </cols>
  <sheetData>
    <row r="1" ht="34" customHeight="1">
      <c r="A1" s="1" t="inlineStr">
        <is>
          <t>Nhóm</t>
        </is>
      </c>
      <c r="B1" s="1" t="inlineStr">
        <is>
          <t>Tài liệu</t>
        </is>
      </c>
      <c r="C1" s="1" t="inlineStr">
        <is>
          <t>Đối tượng</t>
        </is>
      </c>
      <c r="D1" s="1" t="inlineStr">
        <is>
          <t>Định dạng</t>
        </is>
      </c>
      <c r="E1" s="1" t="inlineStr">
        <is>
          <t>Đường dẫn trong repo</t>
        </is>
      </c>
      <c r="F1" s="1" t="inlineStr">
        <is>
          <t>Trạng thái</t>
        </is>
      </c>
      <c r="G1" s="1" t="inlineStr">
        <is>
          <t>Quy tắc chia sẻ</t>
        </is>
      </c>
    </row>
    <row r="2">
      <c r="A2" s="2" t="inlineStr">
        <is>
          <t>Quản trị</t>
        </is>
      </c>
      <c r="B2" s="2" t="inlineStr">
        <is>
          <t>Sổ tay vận hành khóa học AI</t>
        </is>
      </c>
      <c r="C2" s="2" t="inlineStr">
        <is>
          <t>Nội bộ</t>
        </is>
      </c>
      <c r="D2" s="2" t="inlineStr">
        <is>
          <t>DOCX/PDF</t>
        </is>
      </c>
      <c r="E2" s="2" t="inlineStr">
        <is>
          <t>course/dist/04-09-2026-So-tay-van-hanh-khoa-hoc-AI.docx</t>
        </is>
      </c>
      <c r="F2" s="2" t="inlineStr">
        <is>
          <t>HIỆN HÀNH</t>
        </is>
      </c>
      <c r="G2" s="2" t="inlineStr">
        <is>
          <t>Không gửi bảng PII cho học viên</t>
        </is>
      </c>
    </row>
    <row r="3">
      <c r="A3" s="3" t="inlineStr">
        <is>
          <t>Chia sẻ</t>
        </is>
      </c>
      <c r="B3" s="3" t="inlineStr">
        <is>
          <t>Chương trình học 6 tuần</t>
        </is>
      </c>
      <c r="C3" s="3" t="inlineStr">
        <is>
          <t>Học viên/Ứng viên</t>
        </is>
      </c>
      <c r="D3" s="3" t="inlineStr">
        <is>
          <t>PDF</t>
        </is>
      </c>
      <c r="E3" s="3" t="inlineStr">
        <is>
          <t>course/dist/04-09-2026-Chuong-trinh-hoc-AI-Van-hanh-doanh-nghiep.pdf</t>
        </is>
      </c>
      <c r="F3" s="3" t="inlineStr">
        <is>
          <t>HIỆN HÀNH</t>
        </is>
      </c>
      <c r="G3" s="3" t="inlineStr">
        <is>
          <t>Có thể chia sẻ</t>
        </is>
      </c>
    </row>
    <row r="4">
      <c r="A4" s="2" t="inlineStr">
        <is>
          <t>Lịch</t>
        </is>
      </c>
      <c r="B4" s="2" t="inlineStr">
        <is>
          <t>Lịch học và quản lý cohort</t>
        </is>
      </c>
      <c r="C4" s="2" t="inlineStr">
        <is>
          <t>Nội bộ</t>
        </is>
      </c>
      <c r="D4" s="2" t="inlineStr">
        <is>
          <t>XLSX</t>
        </is>
      </c>
      <c r="E4" s="2" t="inlineStr">
        <is>
          <t>course/dist/04-09-2026-Lich-hoc-va-quan-ly-cohort-AI.xlsx</t>
        </is>
      </c>
      <c r="F4" s="2" t="inlineStr">
        <is>
          <t>HIỆN HÀNH</t>
        </is>
      </c>
      <c r="G4" s="2" t="inlineStr">
        <is>
          <t>Giới hạn quyền truy cập</t>
        </is>
      </c>
    </row>
    <row r="5">
      <c r="A5" s="3" t="inlineStr">
        <is>
          <t>Giảng viên</t>
        </is>
      </c>
      <c r="B5" s="3" t="inlineStr">
        <is>
          <t>Giáo án chi tiết Horus 6 tuần</t>
        </is>
      </c>
      <c r="C5" s="3" t="inlineStr">
        <is>
          <t>Giảng viên</t>
        </is>
      </c>
      <c r="D5" s="3" t="inlineStr">
        <is>
          <t>DOCX/PDF</t>
        </is>
      </c>
      <c r="E5" s="3" t="inlineStr">
        <is>
          <t>course/dist/04-09-2026-Giao-an-chi-tiet-Horus-AI-Van-hanh-doanh-nghiep.pdf</t>
        </is>
      </c>
      <c r="F5" s="3" t="inlineStr">
        <is>
          <t>HIỆN HÀNH</t>
        </is>
      </c>
      <c r="G5" s="3" t="inlineStr">
        <is>
          <t>Bản PDF để dạy; DOCX để chỉnh sửa</t>
        </is>
      </c>
    </row>
    <row r="6">
      <c r="A6" s="2" t="inlineStr">
        <is>
          <t>Học viên</t>
        </is>
      </c>
      <c r="B6" s="2" t="inlineStr">
        <is>
          <t>Workbook</t>
        </is>
      </c>
      <c r="C6" s="2" t="inlineStr">
        <is>
          <t>Học viên</t>
        </is>
      </c>
      <c r="D6" s="2" t="inlineStr">
        <is>
          <t>PDF</t>
        </is>
      </c>
      <c r="E6" s="2" t="inlineStr">
        <is>
          <t>course/dist/04-09-2026-Workbook-AI-Van-hanh-doanh-nghiep.pdf</t>
        </is>
      </c>
      <c r="F6" s="2" t="inlineStr">
        <is>
          <t>HIỆN HÀNH</t>
        </is>
      </c>
      <c r="G6" s="2" t="inlineStr">
        <is>
          <t>Chia sẻ sau xác nhận</t>
        </is>
      </c>
    </row>
    <row r="7">
      <c r="A7" s="3" t="inlineStr">
        <is>
          <t>Workshop</t>
        </is>
      </c>
      <c r="B7" s="3" t="inlineStr">
        <is>
          <t>Slide workshop</t>
        </is>
      </c>
      <c r="C7" s="3" t="inlineStr">
        <is>
          <t>Người tham dự</t>
        </is>
      </c>
      <c r="D7" s="3" t="inlineStr">
        <is>
          <t>PPTX/PDF</t>
        </is>
      </c>
      <c r="E7" s="3" t="inlineStr">
        <is>
          <t>course/dist/04-09-2026-Workshop-Xay-tro-ly-AI-dau-tien-voi-Claude.pdf</t>
        </is>
      </c>
      <c r="F7" s="3" t="inlineStr">
        <is>
          <t>HIỆN HÀNH</t>
        </is>
      </c>
      <c r="G7" s="3" t="inlineStr">
        <is>
          <t>Có thể chia sẻ theo chương trình</t>
        </is>
      </c>
    </row>
    <row r="8">
      <c r="A8" s="2" t="inlineStr">
        <is>
          <t>Onboarding</t>
        </is>
      </c>
      <c r="B8" s="2" t="inlineStr">
        <is>
          <t>Checklist intake</t>
        </is>
      </c>
      <c r="C8" s="2" t="inlineStr">
        <is>
          <t>Vận hành</t>
        </is>
      </c>
      <c r="D8" s="2" t="inlineStr">
        <is>
          <t>Source/PDF gộp</t>
        </is>
      </c>
      <c r="E8" s="2" t="inlineStr">
        <is>
          <t>course/onboarding/intake-checklist.md</t>
        </is>
      </c>
      <c r="F8" s="2" t="inlineStr">
        <is>
          <t>HIỆN HÀNH</t>
        </is>
      </c>
      <c r="G8" s="2" t="inlineStr">
        <is>
          <t>Không public response sheet</t>
        </is>
      </c>
    </row>
    <row r="9">
      <c r="A9" s="3" t="inlineStr">
        <is>
          <t>Website</t>
        </is>
      </c>
      <c r="B9" s="3" t="inlineStr">
        <is>
          <t>Landing page</t>
        </is>
      </c>
      <c r="C9" s="3" t="inlineStr">
        <is>
          <t>Công khai</t>
        </is>
      </c>
      <c r="D9" s="3" t="inlineStr">
        <is>
          <t>HTML</t>
        </is>
      </c>
      <c r="E9" s="3" t="inlineStr">
        <is>
          <t>ai-van-hanh-doanh-nghiep/</t>
        </is>
      </c>
      <c r="F9" s="3" t="inlineStr">
        <is>
          <t>LIVE</t>
        </is>
      </c>
      <c r="G9" s="3" t="inlineStr">
        <is>
          <t>https://khanh.design/ai-van-hanh-doanh-nghiep/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2026-09-04T11:54:48Z</dcterms:created>
  <dcterms:modified xmlns:dcterms="http://purl.org/dc/terms/" xmlns:xsi="http://www.w3.org/2001/XMLSchema-instance" xsi:type="dcterms:W3CDTF">2026-09-04T11:54:49Z</dcterms:modified>
</cp:coreProperties>
</file>